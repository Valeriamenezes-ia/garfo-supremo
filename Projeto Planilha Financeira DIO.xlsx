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ixa-my.sharepoint.com/personal/c135011_corp_caixa_gov_br/Documents/Área de Trabalho/supervisão/pessoal/"/>
    </mc:Choice>
  </mc:AlternateContent>
  <xr:revisionPtr revIDLastSave="466" documentId="8_{A2C60B8C-7E5B-4C29-9171-8DBDB7A1A00B}" xr6:coauthVersionLast="47" xr6:coauthVersionMax="47" xr10:uidLastSave="{E0F8E645-E025-4BF6-9E3E-9938CA5DE465}"/>
  <bookViews>
    <workbookView xWindow="-120" yWindow="-120" windowWidth="24240" windowHeight="13020" firstSheet="3" activeTab="3" xr2:uid="{9E93E30E-7E5C-4A17-A478-FE94485E8297}"/>
  </bookViews>
  <sheets>
    <sheet name="Data" sheetId="1" state="hidden" r:id="rId1"/>
    <sheet name="Controller" sheetId="2" state="hidden" r:id="rId2"/>
    <sheet name="Caixinha" sheetId="4" state="hidden" r:id="rId3"/>
    <sheet name="Dashboard" sheetId="3" r:id="rId4"/>
  </sheets>
  <definedNames>
    <definedName name="SegmentaçãodeDados_MÊS">#N/A</definedName>
  </definedNames>
  <calcPr calcId="191029"/>
  <pivotCaches>
    <pivotCache cacheId="3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</calcChain>
</file>

<file path=xl/sharedStrings.xml><?xml version="1.0" encoding="utf-8"?>
<sst xmlns="http://schemas.openxmlformats.org/spreadsheetml/2006/main" count="135" uniqueCount="60">
  <si>
    <t>Data</t>
  </si>
  <si>
    <t>Tipo</t>
  </si>
  <si>
    <t>Categoria</t>
  </si>
  <si>
    <t>Descrição</t>
  </si>
  <si>
    <t>Valor</t>
  </si>
  <si>
    <t>Operação bancária</t>
  </si>
  <si>
    <t>Status</t>
  </si>
  <si>
    <t>Salário</t>
  </si>
  <si>
    <t>Salário Mensal</t>
  </si>
  <si>
    <t>Depósito</t>
  </si>
  <si>
    <t>Confirmado</t>
  </si>
  <si>
    <t>Despesa</t>
  </si>
  <si>
    <t>Alimetação</t>
  </si>
  <si>
    <t>Supermercado</t>
  </si>
  <si>
    <t>Cartão de crédito</t>
  </si>
  <si>
    <t>Pendente</t>
  </si>
  <si>
    <t>Freelancer</t>
  </si>
  <si>
    <t>Trabalho como freelancer</t>
  </si>
  <si>
    <t>Transferência</t>
  </si>
  <si>
    <t>Transporte</t>
  </si>
  <si>
    <t>Combustível</t>
  </si>
  <si>
    <t>Cartão de débito</t>
  </si>
  <si>
    <t>Lazer</t>
  </si>
  <si>
    <t>Cinema</t>
  </si>
  <si>
    <t>Dinheiro</t>
  </si>
  <si>
    <t>Venda</t>
  </si>
  <si>
    <t>Venda de Produto</t>
  </si>
  <si>
    <t>Saúde</t>
  </si>
  <si>
    <t>Consulta Médica</t>
  </si>
  <si>
    <t>Moradia</t>
  </si>
  <si>
    <t>Aluguel</t>
  </si>
  <si>
    <t>Receita</t>
  </si>
  <si>
    <t>Investimentos</t>
  </si>
  <si>
    <t>Rendimentos Bancários</t>
  </si>
  <si>
    <t>Crédito Bancário</t>
  </si>
  <si>
    <t>Comunicação</t>
  </si>
  <si>
    <t>Conta de Internet</t>
  </si>
  <si>
    <t>Carrão de crédito</t>
  </si>
  <si>
    <t>Educação</t>
  </si>
  <si>
    <t>Curso Online</t>
  </si>
  <si>
    <t>Boleto Bancário</t>
  </si>
  <si>
    <t>Venda de Roupas</t>
  </si>
  <si>
    <t>Entretenimento</t>
  </si>
  <si>
    <t>Jantar com Amigos</t>
  </si>
  <si>
    <t>Táxi</t>
  </si>
  <si>
    <t>Cartão de Débito</t>
  </si>
  <si>
    <t>Consultoria</t>
  </si>
  <si>
    <t>Condomínio</t>
  </si>
  <si>
    <t>Restaurante</t>
  </si>
  <si>
    <t>Ações</t>
  </si>
  <si>
    <t>Medicamentos</t>
  </si>
  <si>
    <t>Rótulos de Linha</t>
  </si>
  <si>
    <t>Total Geral</t>
  </si>
  <si>
    <t>Soma de Valor</t>
  </si>
  <si>
    <t>quantidade de saída somatizado em reis</t>
  </si>
  <si>
    <t>MÊS</t>
  </si>
  <si>
    <t>Data de Lançamento</t>
  </si>
  <si>
    <t>Depósito Reservado</t>
  </si>
  <si>
    <t>Total reservado</t>
  </si>
  <si>
    <t>Meta de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</si>
</sst>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9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1" fontId="0" fillId="0" borderId="0" xfId="0" applyNumberFormat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10">
    <dxf>
      <numFmt numFmtId="169" formatCode="&quot;R$&quot;\ #,##0.00"/>
    </dxf>
    <dxf>
      <numFmt numFmtId="169" formatCode="&quot;R$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minor"/>
      </font>
    </dxf>
    <dxf>
      <font>
        <color theme="0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/>
      </font>
    </dxf>
    <dxf>
      <numFmt numFmtId="1" formatCode="0"/>
    </dxf>
    <dxf>
      <numFmt numFmtId="19" formatCode="dd/mm/yyyy"/>
    </dxf>
    <dxf>
      <numFmt numFmtId="169" formatCode="&quot;R$&quot;\ #,##0.00"/>
    </dxf>
  </dxfs>
  <tableStyles count="3" defaultTableStyle="TableStyleMedium2" defaultPivotStyle="PivotStyleLight16">
    <tableStyle name="Estilo de Segmentação de Dados 1" pivot="0" table="0" count="1" xr9:uid="{DD3FA654-D8F5-45B6-8221-68BB43CD2B1C}">
      <tableStyleElement type="wholeTable" dxfId="6"/>
    </tableStyle>
    <tableStyle name="Estilo de Segmentação de Dados 2" pivot="0" table="0" count="4" xr9:uid="{28E38E44-DF69-41C0-8A89-3A653A85C894}">
      <tableStyleElement type="wholeTable" dxfId="5"/>
      <tableStyleElement type="headerRow" dxfId="4"/>
    </tableStyle>
    <tableStyle name="Estilo de Segmentação de Dados 3" pivot="0" table="0" count="3" xr9:uid="{EC59ACAC-2042-4549-AB30-BC2D42EF9954}">
      <tableStyleElement type="wholeTable" dxfId="3"/>
    </tableStyle>
  </tableStyles>
  <extLst>
    <ext xmlns:x14="http://schemas.microsoft.com/office/spreadsheetml/2009/9/main" uri="{46F421CA-312F-682f-3DD2-61675219B42D}">
      <x14:dxfs count="4">
        <dxf>
          <font>
            <color theme="9" tint="-0.24994659260841701"/>
          </font>
        </dxf>
        <dxf>
          <font>
            <color theme="0"/>
          </font>
        </dxf>
        <dxf>
          <font>
            <color rgb="FF00B050"/>
          </font>
        </dxf>
        <dxf>
          <font>
            <color theme="0" tint="-4.9989318521683403E-2"/>
          </font>
        </dxf>
      </x14:dxfs>
    </ext>
    <ext xmlns:x14="http://schemas.microsoft.com/office/spreadsheetml/2009/9/main" uri="{EB79DEF2-80B8-43e5-95BD-54CBDDF9020C}">
      <x14:slicerStyles defaultSlicerStyle="Estilo de Segmentação de Dados 3">
        <x14:slicerStyle name="Estilo de Segmentação de Dados 1"/>
        <x14:slicerStyle name="Estilo de Segmentação de Dados 2">
          <x14:slicerStyleElements>
            <x14:slicerStyleElement type="unselectedItemWithNoData" dxfId="3"/>
            <x14:slicerStyleElement type="selectedItemWithData" dxfId="2"/>
          </x14:slicerStyleElements>
        </x14:slicerStyle>
        <x14:slicerStyle name="Estilo de Segmentação de Dados 3">
          <x14:slicerStyleElements>
            <x14:slicerStyleElement type="unselectedItemWithNo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Planilha Financeira DIO.xlsx]Controller!Tabela dinâmica3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3376434999383881E-5"/>
          <c:y val="2.6116714488651185E-2"/>
          <c:w val="0.9428200129954516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Controller!$I$4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Controller!$H$5:$H$9</c:f>
              <c:strCache>
                <c:ptCount val="4"/>
                <c:pt idx="0">
                  <c:v>Freelancer</c:v>
                </c:pt>
                <c:pt idx="1">
                  <c:v>Investimentos</c:v>
                </c:pt>
                <c:pt idx="2">
                  <c:v>Salário</c:v>
                </c:pt>
                <c:pt idx="3">
                  <c:v>Venda</c:v>
                </c:pt>
              </c:strCache>
            </c:strRef>
          </c:cat>
          <c:val>
            <c:numRef>
              <c:f>Controller!$I$5:$I$9</c:f>
              <c:numCache>
                <c:formatCode>"R$"\ #,##0.00</c:formatCode>
                <c:ptCount val="4"/>
                <c:pt idx="0">
                  <c:v>1800</c:v>
                </c:pt>
                <c:pt idx="1">
                  <c:v>320</c:v>
                </c:pt>
                <c:pt idx="2">
                  <c:v>7000</c:v>
                </c:pt>
                <c:pt idx="3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7-4E5B-AEBF-46740C9C31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8132991"/>
        <c:axId val="528825295"/>
      </c:barChart>
      <c:catAx>
        <c:axId val="108813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8825295"/>
        <c:crosses val="autoZero"/>
        <c:auto val="1"/>
        <c:lblAlgn val="ctr"/>
        <c:lblOffset val="100"/>
        <c:noMultiLvlLbl val="0"/>
      </c:catAx>
      <c:valAx>
        <c:axId val="528825295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08813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Planilha Financeira DIO.xlsx]Controller!Tabela dinâmica2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1.768933297007522E-2"/>
          <c:y val="5.3703830816987708E-2"/>
          <c:w val="0.96108346746583451"/>
          <c:h val="0.86034395828563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Controller!$E$4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Controller!$D$5:$D$13</c:f>
              <c:strCache>
                <c:ptCount val="8"/>
                <c:pt idx="0">
                  <c:v>Alimetação</c:v>
                </c:pt>
                <c:pt idx="1">
                  <c:v>Comunicação</c:v>
                </c:pt>
                <c:pt idx="2">
                  <c:v>Educação</c:v>
                </c:pt>
                <c:pt idx="3">
                  <c:v>Entretenimento</c:v>
                </c:pt>
                <c:pt idx="4">
                  <c:v>Lazer</c:v>
                </c:pt>
                <c:pt idx="5">
                  <c:v>Moradia</c:v>
                </c:pt>
                <c:pt idx="6">
                  <c:v>Saúde</c:v>
                </c:pt>
                <c:pt idx="7">
                  <c:v>Transporte</c:v>
                </c:pt>
              </c:strCache>
            </c:strRef>
          </c:cat>
          <c:val>
            <c:numRef>
              <c:f>Controller!$E$5:$E$13</c:f>
              <c:numCache>
                <c:formatCode>"R$"\ #,##0.00</c:formatCode>
                <c:ptCount val="8"/>
                <c:pt idx="0">
                  <c:v>320</c:v>
                </c:pt>
                <c:pt idx="1">
                  <c:v>130</c:v>
                </c:pt>
                <c:pt idx="2">
                  <c:v>150</c:v>
                </c:pt>
                <c:pt idx="3">
                  <c:v>180</c:v>
                </c:pt>
                <c:pt idx="4">
                  <c:v>60</c:v>
                </c:pt>
                <c:pt idx="5">
                  <c:v>1650</c:v>
                </c:pt>
                <c:pt idx="6">
                  <c:v>300</c:v>
                </c:pt>
                <c:pt idx="7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0-4B64-9B70-2438440009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27106511"/>
        <c:axId val="528848335"/>
      </c:barChart>
      <c:catAx>
        <c:axId val="92710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8848335"/>
        <c:crosses val="autoZero"/>
        <c:auto val="1"/>
        <c:lblAlgn val="ctr"/>
        <c:lblOffset val="100"/>
        <c:noMultiLvlLbl val="0"/>
      </c:catAx>
      <c:valAx>
        <c:axId val="528848335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92710651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333333333333329E-2"/>
          <c:y val="0.10185185185185185"/>
          <c:w val="0.91666666666666663"/>
          <c:h val="0.8981481481481481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9B-48EE-A48E-4B8461EB63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Caixinha!$D$3</c:f>
              <c:numCache>
                <c:formatCode>"R$"\ #,##0.00</c:formatCode>
                <c:ptCount val="1"/>
                <c:pt idx="0">
                  <c:v>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9B-48EE-A48E-4B8461EB63B1}"/>
            </c:ext>
          </c:extLst>
        </c:ser>
        <c:ser>
          <c:idx val="1"/>
          <c:order val="1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Caixinha!$D$4</c:f>
              <c:numCache>
                <c:formatCode>"R$"\ #,##0.00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9B-48EE-A48E-4B8461EB63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370903615"/>
        <c:axId val="932529855"/>
      </c:barChart>
      <c:catAx>
        <c:axId val="13709036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32529855"/>
        <c:crosses val="autoZero"/>
        <c:auto val="1"/>
        <c:lblAlgn val="ctr"/>
        <c:lblOffset val="100"/>
        <c:noMultiLvlLbl val="0"/>
      </c:catAx>
      <c:valAx>
        <c:axId val="932529855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37090361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10.svg"/><Relationship Id="rId3" Type="http://schemas.openxmlformats.org/officeDocument/2006/relationships/image" Target="../media/image2.svg"/><Relationship Id="rId7" Type="http://schemas.openxmlformats.org/officeDocument/2006/relationships/image" Target="../media/image5.png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6" Type="http://schemas.openxmlformats.org/officeDocument/2006/relationships/chart" Target="../charts/chart3.xml"/><Relationship Id="rId1" Type="http://schemas.openxmlformats.org/officeDocument/2006/relationships/hyperlink" Target="#Data!A1"/><Relationship Id="rId6" Type="http://schemas.openxmlformats.org/officeDocument/2006/relationships/chart" Target="../charts/chart1.xml"/><Relationship Id="rId11" Type="http://schemas.openxmlformats.org/officeDocument/2006/relationships/image" Target="../media/image8.svg"/><Relationship Id="rId5" Type="http://schemas.openxmlformats.org/officeDocument/2006/relationships/image" Target="../media/image4.svg"/><Relationship Id="rId15" Type="http://schemas.openxmlformats.org/officeDocument/2006/relationships/image" Target="../media/image12.sv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chart" Target="../charts/chart2.xml"/><Relationship Id="rId1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619125</xdr:colOff>
      <xdr:row>13</xdr:row>
      <xdr:rowOff>9525</xdr:rowOff>
    </xdr:from>
    <xdr:to>
      <xdr:col>7</xdr:col>
      <xdr:colOff>914400</xdr:colOff>
      <xdr:row>26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ÊS">
              <a:extLst>
                <a:ext uri="{FF2B5EF4-FFF2-40B4-BE49-F238E27FC236}">
                  <a16:creationId xmlns:a16="http://schemas.microsoft.com/office/drawing/2014/main" id="{47E4BF1D-9A36-B336-18BC-E237EBDCDD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00" y="2486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404810</xdr:colOff>
      <xdr:row>0</xdr:row>
      <xdr:rowOff>142875</xdr:rowOff>
    </xdr:from>
    <xdr:to>
      <xdr:col>21</xdr:col>
      <xdr:colOff>0</xdr:colOff>
      <xdr:row>6</xdr:row>
      <xdr:rowOff>142875</xdr:rowOff>
    </xdr:to>
    <xdr:grpSp>
      <xdr:nvGrpSpPr>
        <xdr:cNvPr id="42" name="Agrupar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D1CA97-678E-9D1E-F8CC-5C5FEDA5BD91}"/>
            </a:ext>
          </a:extLst>
        </xdr:cNvPr>
        <xdr:cNvGrpSpPr/>
      </xdr:nvGrpSpPr>
      <xdr:grpSpPr>
        <a:xfrm>
          <a:off x="2333623" y="142875"/>
          <a:ext cx="11739565" cy="1143000"/>
          <a:chOff x="2333623" y="142875"/>
          <a:chExt cx="11739565" cy="1143000"/>
        </a:xfrm>
      </xdr:grpSpPr>
      <xdr:grpSp>
        <xdr:nvGrpSpPr>
          <xdr:cNvPr id="37" name="Agrupar 36">
            <a:extLst>
              <a:ext uri="{FF2B5EF4-FFF2-40B4-BE49-F238E27FC236}">
                <a16:creationId xmlns:a16="http://schemas.microsoft.com/office/drawing/2014/main" id="{93068D39-3808-85FD-4FB4-6AE1C7C47EAC}"/>
              </a:ext>
            </a:extLst>
          </xdr:cNvPr>
          <xdr:cNvGrpSpPr/>
        </xdr:nvGrpSpPr>
        <xdr:grpSpPr>
          <a:xfrm>
            <a:off x="2333623" y="142875"/>
            <a:ext cx="11739565" cy="1143000"/>
            <a:chOff x="2166935" y="119063"/>
            <a:chExt cx="11739564" cy="1143000"/>
          </a:xfrm>
        </xdr:grpSpPr>
        <xdr:grpSp>
          <xdr:nvGrpSpPr>
            <xdr:cNvPr id="34" name="Agrupar 33">
              <a:extLst>
                <a:ext uri="{FF2B5EF4-FFF2-40B4-BE49-F238E27FC236}">
                  <a16:creationId xmlns:a16="http://schemas.microsoft.com/office/drawing/2014/main" id="{BF302C79-D5BF-112F-C884-53061EA43822}"/>
                </a:ext>
              </a:extLst>
            </xdr:cNvPr>
            <xdr:cNvGrpSpPr/>
          </xdr:nvGrpSpPr>
          <xdr:grpSpPr>
            <a:xfrm>
              <a:off x="2166935" y="119063"/>
              <a:ext cx="11739564" cy="1143000"/>
              <a:chOff x="2166935" y="119063"/>
              <a:chExt cx="11739563" cy="1143000"/>
            </a:xfrm>
          </xdr:grpSpPr>
          <xdr:grpSp>
            <xdr:nvGrpSpPr>
              <xdr:cNvPr id="33" name="Agrupar 32">
                <a:extLst>
                  <a:ext uri="{FF2B5EF4-FFF2-40B4-BE49-F238E27FC236}">
                    <a16:creationId xmlns:a16="http://schemas.microsoft.com/office/drawing/2014/main" id="{E963A516-CCEC-791B-66DB-845FCF0A5263}"/>
                  </a:ext>
                </a:extLst>
              </xdr:cNvPr>
              <xdr:cNvGrpSpPr/>
            </xdr:nvGrpSpPr>
            <xdr:grpSpPr>
              <a:xfrm>
                <a:off x="2166935" y="119063"/>
                <a:ext cx="11739563" cy="1143000"/>
                <a:chOff x="2250279" y="95250"/>
                <a:chExt cx="11739563" cy="1143000"/>
              </a:xfrm>
            </xdr:grpSpPr>
            <xdr:sp macro="" textlink="">
              <xdr:nvSpPr>
                <xdr:cNvPr id="28" name="Retângulo: Cantos Arredondados 27">
                  <a:extLst>
                    <a:ext uri="{FF2B5EF4-FFF2-40B4-BE49-F238E27FC236}">
                      <a16:creationId xmlns:a16="http://schemas.microsoft.com/office/drawing/2014/main" id="{8D194A9B-B626-40D9-8234-F58CF2BEF17C}"/>
                    </a:ext>
                  </a:extLst>
                </xdr:cNvPr>
                <xdr:cNvSpPr/>
              </xdr:nvSpPr>
              <xdr:spPr>
                <a:xfrm>
                  <a:off x="2250279" y="95250"/>
                  <a:ext cx="11739563" cy="1143000"/>
                </a:xfrm>
                <a:prstGeom prst="round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29" name="Retângulo: Cantos Arredondados 28">
                  <a:extLst>
                    <a:ext uri="{FF2B5EF4-FFF2-40B4-BE49-F238E27FC236}">
                      <a16:creationId xmlns:a16="http://schemas.microsoft.com/office/drawing/2014/main" id="{820025DC-E9C5-4B36-A864-C2F4AD89166F}"/>
                    </a:ext>
                  </a:extLst>
                </xdr:cNvPr>
                <xdr:cNvSpPr/>
              </xdr:nvSpPr>
              <xdr:spPr>
                <a:xfrm>
                  <a:off x="2428876" y="285750"/>
                  <a:ext cx="1035844" cy="833437"/>
                </a:xfrm>
                <a:prstGeom prst="roundRect">
                  <a:avLst/>
                </a:prstGeom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</xdr:grpSp>
          <xdr:sp macro="" textlink="">
            <xdr:nvSpPr>
              <xdr:cNvPr id="30" name="CaixaDeTexto 29">
                <a:extLst>
                  <a:ext uri="{FF2B5EF4-FFF2-40B4-BE49-F238E27FC236}">
                    <a16:creationId xmlns:a16="http://schemas.microsoft.com/office/drawing/2014/main" id="{CEA8C6E0-8088-A404-9A55-E4E5DFFC5FBC}"/>
                  </a:ext>
                </a:extLst>
              </xdr:cNvPr>
              <xdr:cNvSpPr txBox="1"/>
            </xdr:nvSpPr>
            <xdr:spPr>
              <a:xfrm>
                <a:off x="4131469" y="238125"/>
                <a:ext cx="1964531" cy="392906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pt-BR" sz="2100">
                    <a:latin typeface="Segoe UI" panose="020B0502040204020203" pitchFamily="34" charset="0"/>
                    <a:cs typeface="Segoe UI" panose="020B0502040204020203" pitchFamily="34" charset="0"/>
                  </a:rPr>
                  <a:t>Hello,</a:t>
                </a:r>
                <a:r>
                  <a:rPr lang="pt-BR" sz="2100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t> Valéria</a:t>
                </a:r>
                <a:endParaRPr lang="pt-BR" sz="2100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sp macro="" textlink="">
          <xdr:nvSpPr>
            <xdr:cNvPr id="35" name="CaixaDeTexto 34">
              <a:extLst>
                <a:ext uri="{FF2B5EF4-FFF2-40B4-BE49-F238E27FC236}">
                  <a16:creationId xmlns:a16="http://schemas.microsoft.com/office/drawing/2014/main" id="{C70F2500-9CC6-7A4C-4C34-14B65AD3C8FC}"/>
                </a:ext>
              </a:extLst>
            </xdr:cNvPr>
            <xdr:cNvSpPr txBox="1"/>
          </xdr:nvSpPr>
          <xdr:spPr>
            <a:xfrm>
              <a:off x="4131469" y="678656"/>
              <a:ext cx="3619500" cy="39290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800">
                  <a:latin typeface="Segoe UI" panose="020B0502040204020203" pitchFamily="34" charset="0"/>
                  <a:cs typeface="Segoe UI" panose="020B0502040204020203" pitchFamily="34" charset="0"/>
                </a:rPr>
                <a:t>Acompanhamento</a:t>
              </a:r>
              <a:r>
                <a:rPr lang="pt-BR" sz="1800" baseline="0">
                  <a:latin typeface="Segoe UI" panose="020B0502040204020203" pitchFamily="34" charset="0"/>
                  <a:cs typeface="Segoe UI" panose="020B0502040204020203" pitchFamily="34" charset="0"/>
                </a:rPr>
                <a:t> Financeiro</a:t>
              </a:r>
              <a:endParaRPr lang="pt-BR" sz="18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41" name="Agrupar 40">
            <a:extLst>
              <a:ext uri="{FF2B5EF4-FFF2-40B4-BE49-F238E27FC236}">
                <a16:creationId xmlns:a16="http://schemas.microsoft.com/office/drawing/2014/main" id="{115C5358-3C44-2E8E-24A4-6A49E5B3844D}"/>
              </a:ext>
            </a:extLst>
          </xdr:cNvPr>
          <xdr:cNvGrpSpPr/>
        </xdr:nvGrpSpPr>
        <xdr:grpSpPr>
          <a:xfrm>
            <a:off x="9727406" y="404814"/>
            <a:ext cx="4095750" cy="440530"/>
            <a:chOff x="9727406" y="404814"/>
            <a:chExt cx="4095750" cy="440530"/>
          </a:xfrm>
        </xdr:grpSpPr>
        <xdr:sp macro="" textlink="">
          <xdr:nvSpPr>
            <xdr:cNvPr id="38" name="Retângulo: Cantos Arredondados 37">
              <a:extLst>
                <a:ext uri="{FF2B5EF4-FFF2-40B4-BE49-F238E27FC236}">
                  <a16:creationId xmlns:a16="http://schemas.microsoft.com/office/drawing/2014/main" id="{83DDA90C-A0CA-4A07-8CBB-633A282F0082}"/>
                </a:ext>
              </a:extLst>
            </xdr:cNvPr>
            <xdr:cNvSpPr/>
          </xdr:nvSpPr>
          <xdr:spPr>
            <a:xfrm>
              <a:off x="9727406" y="404814"/>
              <a:ext cx="4095750" cy="440530"/>
            </a:xfrm>
            <a:prstGeom prst="roundRect">
              <a:avLst/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>
                  <a:solidFill>
                    <a:sysClr val="windowText" lastClr="000000"/>
                  </a:solidFill>
                </a:rPr>
                <a:t>Pesquisar Dados...</a:t>
              </a:r>
            </a:p>
          </xdr:txBody>
        </xdr:sp>
        <xdr:pic>
          <xdr:nvPicPr>
            <xdr:cNvPr id="40" name="Gráfico 39" descr="Lupa com preenchimento sólido">
              <a:extLst>
                <a:ext uri="{FF2B5EF4-FFF2-40B4-BE49-F238E27FC236}">
                  <a16:creationId xmlns:a16="http://schemas.microsoft.com/office/drawing/2014/main" id="{A6D95D37-D0E6-4B8F-4B69-9228565D74E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3"/>
                </a:ext>
              </a:extLst>
            </a:blip>
            <a:stretch>
              <a:fillRect/>
            </a:stretch>
          </xdr:blipFill>
          <xdr:spPr>
            <a:xfrm>
              <a:off x="13334999" y="476250"/>
              <a:ext cx="366711" cy="297656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2</xdr:col>
      <xdr:colOff>59530</xdr:colOff>
      <xdr:row>2</xdr:row>
      <xdr:rowOff>95249</xdr:rowOff>
    </xdr:from>
    <xdr:to>
      <xdr:col>3</xdr:col>
      <xdr:colOff>238124</xdr:colOff>
      <xdr:row>5</xdr:row>
      <xdr:rowOff>83344</xdr:rowOff>
    </xdr:to>
    <xdr:pic>
      <xdr:nvPicPr>
        <xdr:cNvPr id="44" name="Gráfico 43" descr="Programadora estrutura de tópicos">
          <a:extLst>
            <a:ext uri="{FF2B5EF4-FFF2-40B4-BE49-F238E27FC236}">
              <a16:creationId xmlns:a16="http://schemas.microsoft.com/office/drawing/2014/main" id="{4FC4D887-11A1-EEFD-02C6-C711E7B51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595561" y="476249"/>
          <a:ext cx="785813" cy="559595"/>
        </a:xfrm>
        <a:prstGeom prst="rect">
          <a:avLst/>
        </a:prstGeom>
      </xdr:spPr>
    </xdr:pic>
    <xdr:clientData/>
  </xdr:twoCellAnchor>
  <xdr:twoCellAnchor>
    <xdr:from>
      <xdr:col>1</xdr:col>
      <xdr:colOff>273844</xdr:colOff>
      <xdr:row>8</xdr:row>
      <xdr:rowOff>35725</xdr:rowOff>
    </xdr:from>
    <xdr:to>
      <xdr:col>10</xdr:col>
      <xdr:colOff>547688</xdr:colOff>
      <xdr:row>25</xdr:row>
      <xdr:rowOff>11913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7BD0BB6E-D84D-E36B-1960-A5934427FDEA}"/>
            </a:ext>
          </a:extLst>
        </xdr:cNvPr>
        <xdr:cNvGrpSpPr/>
      </xdr:nvGrpSpPr>
      <xdr:grpSpPr>
        <a:xfrm>
          <a:off x="2202657" y="1559725"/>
          <a:ext cx="5738812" cy="3214688"/>
          <a:chOff x="1916907" y="345281"/>
          <a:chExt cx="5738813" cy="3214688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482B267C-0BF5-3BBC-F4DA-F65AE0EE0F2B}"/>
              </a:ext>
            </a:extLst>
          </xdr:cNvPr>
          <xdr:cNvGrpSpPr/>
        </xdr:nvGrpSpPr>
        <xdr:grpSpPr>
          <a:xfrm>
            <a:off x="1916907" y="345281"/>
            <a:ext cx="5738813" cy="3214688"/>
            <a:chOff x="1726406" y="261936"/>
            <a:chExt cx="5738813" cy="3214688"/>
          </a:xfrm>
        </xdr:grpSpPr>
        <xdr:grpSp>
          <xdr:nvGrpSpPr>
            <xdr:cNvPr id="9" name="Agrupar 8">
              <a:extLst>
                <a:ext uri="{FF2B5EF4-FFF2-40B4-BE49-F238E27FC236}">
                  <a16:creationId xmlns:a16="http://schemas.microsoft.com/office/drawing/2014/main" id="{75A0D929-6E31-9300-64BC-BC64B410F44A}"/>
                </a:ext>
              </a:extLst>
            </xdr:cNvPr>
            <xdr:cNvGrpSpPr/>
          </xdr:nvGrpSpPr>
          <xdr:grpSpPr>
            <a:xfrm>
              <a:off x="1726406" y="261936"/>
              <a:ext cx="5738813" cy="3214688"/>
              <a:chOff x="1571625" y="202405"/>
              <a:chExt cx="5738813" cy="3214688"/>
            </a:xfrm>
          </xdr:grpSpPr>
          <xdr:grpSp>
            <xdr:nvGrpSpPr>
              <xdr:cNvPr id="8" name="Agrupar 7">
                <a:extLst>
                  <a:ext uri="{FF2B5EF4-FFF2-40B4-BE49-F238E27FC236}">
                    <a16:creationId xmlns:a16="http://schemas.microsoft.com/office/drawing/2014/main" id="{6DCFD3B1-306B-34C0-BA09-09EA2D547CF9}"/>
                  </a:ext>
                </a:extLst>
              </xdr:cNvPr>
              <xdr:cNvGrpSpPr/>
            </xdr:nvGrpSpPr>
            <xdr:grpSpPr>
              <a:xfrm>
                <a:off x="1571625" y="202405"/>
                <a:ext cx="5738813" cy="3214688"/>
                <a:chOff x="1571625" y="202405"/>
                <a:chExt cx="5738813" cy="3214688"/>
              </a:xfrm>
            </xdr:grpSpPr>
            <xdr:sp macro="" textlink="">
              <xdr:nvSpPr>
                <xdr:cNvPr id="5" name="Retângulo: Cantos Arredondados 4">
                  <a:extLst>
                    <a:ext uri="{FF2B5EF4-FFF2-40B4-BE49-F238E27FC236}">
                      <a16:creationId xmlns:a16="http://schemas.microsoft.com/office/drawing/2014/main" id="{5D6F1AD4-81E2-05F6-9CCB-F5F12541FDFC}"/>
                    </a:ext>
                  </a:extLst>
                </xdr:cNvPr>
                <xdr:cNvSpPr/>
              </xdr:nvSpPr>
              <xdr:spPr>
                <a:xfrm>
                  <a:off x="1571625" y="261937"/>
                  <a:ext cx="5691188" cy="3155156"/>
                </a:xfrm>
                <a:prstGeom prst="round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7" name="Retângulo: Cantos Superiores Arredondados 6">
                  <a:extLst>
                    <a:ext uri="{FF2B5EF4-FFF2-40B4-BE49-F238E27FC236}">
                      <a16:creationId xmlns:a16="http://schemas.microsoft.com/office/drawing/2014/main" id="{65F65701-203F-53D9-B846-EF78A6260CA8}"/>
                    </a:ext>
                  </a:extLst>
                </xdr:cNvPr>
                <xdr:cNvSpPr/>
              </xdr:nvSpPr>
              <xdr:spPr>
                <a:xfrm>
                  <a:off x="1583532" y="202405"/>
                  <a:ext cx="5726906" cy="452438"/>
                </a:xfrm>
                <a:prstGeom prst="round2SameRect">
                  <a:avLst>
                    <a:gd name="adj1" fmla="val 50000"/>
                    <a:gd name="adj2" fmla="val 0"/>
                  </a:avLst>
                </a:prstGeom>
                <a:solidFill>
                  <a:srgbClr val="92D05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</xdr:grpSp>
          <xdr:graphicFrame macro="">
            <xdr:nvGraphicFramePr>
              <xdr:cNvPr id="4" name="Gráfico 3">
                <a:extLst>
                  <a:ext uri="{FF2B5EF4-FFF2-40B4-BE49-F238E27FC236}">
                    <a16:creationId xmlns:a16="http://schemas.microsoft.com/office/drawing/2014/main" id="{D1E104BF-EBB8-41B5-A0E1-0BDDEED3668D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166937" y="726280"/>
              <a:ext cx="4893469" cy="258841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</xdr:grpSp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DF63B1AA-2316-E96C-4D54-BC29CDE6677D}"/>
                </a:ext>
              </a:extLst>
            </xdr:cNvPr>
            <xdr:cNvSpPr txBox="1"/>
          </xdr:nvSpPr>
          <xdr:spPr>
            <a:xfrm>
              <a:off x="2381250" y="333375"/>
              <a:ext cx="4595812" cy="35718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000">
                  <a:solidFill>
                    <a:schemeClr val="bg1">
                      <a:lumMod val="95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Receitas</a:t>
              </a:r>
            </a:p>
          </xdr:txBody>
        </xdr:sp>
      </xdr:grpSp>
      <xdr:pic>
        <xdr:nvPicPr>
          <xdr:cNvPr id="22" name="Gráfico 21" descr="Registrar estrutura de tópicos">
            <a:extLst>
              <a:ext uri="{FF2B5EF4-FFF2-40B4-BE49-F238E27FC236}">
                <a16:creationId xmlns:a16="http://schemas.microsoft.com/office/drawing/2014/main" id="{C1DCF45C-B4B2-B269-0953-F8244C99D6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988342" y="369094"/>
            <a:ext cx="583407" cy="42862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273844</xdr:colOff>
      <xdr:row>26</xdr:row>
      <xdr:rowOff>4</xdr:rowOff>
    </xdr:from>
    <xdr:to>
      <xdr:col>15</xdr:col>
      <xdr:colOff>333378</xdr:colOff>
      <xdr:row>46</xdr:row>
      <xdr:rowOff>83352</xdr:rowOff>
    </xdr:to>
    <xdr:grpSp>
      <xdr:nvGrpSpPr>
        <xdr:cNvPr id="50" name="Agrupar 49">
          <a:extLst>
            <a:ext uri="{FF2B5EF4-FFF2-40B4-BE49-F238E27FC236}">
              <a16:creationId xmlns:a16="http://schemas.microsoft.com/office/drawing/2014/main" id="{85230771-07AD-F53D-FDDA-E68A7708BD9E}"/>
            </a:ext>
          </a:extLst>
        </xdr:cNvPr>
        <xdr:cNvGrpSpPr/>
      </xdr:nvGrpSpPr>
      <xdr:grpSpPr>
        <a:xfrm>
          <a:off x="2202657" y="4953004"/>
          <a:ext cx="8560596" cy="3893348"/>
          <a:chOff x="2440782" y="4929191"/>
          <a:chExt cx="8560596" cy="3893348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16F91D47-07EE-0F3F-8293-349BD004B574}"/>
              </a:ext>
            </a:extLst>
          </xdr:cNvPr>
          <xdr:cNvGrpSpPr/>
        </xdr:nvGrpSpPr>
        <xdr:grpSpPr>
          <a:xfrm>
            <a:off x="2440782" y="4929191"/>
            <a:ext cx="8560596" cy="3893348"/>
            <a:chOff x="1643062" y="3627882"/>
            <a:chExt cx="8560596" cy="4265859"/>
          </a:xfrm>
        </xdr:grpSpPr>
        <xdr:grpSp>
          <xdr:nvGrpSpPr>
            <xdr:cNvPr id="11" name="Agrupar 10">
              <a:extLst>
                <a:ext uri="{FF2B5EF4-FFF2-40B4-BE49-F238E27FC236}">
                  <a16:creationId xmlns:a16="http://schemas.microsoft.com/office/drawing/2014/main" id="{495A1896-40CF-4461-2781-8CF640B83B2E}"/>
                </a:ext>
              </a:extLst>
            </xdr:cNvPr>
            <xdr:cNvGrpSpPr/>
          </xdr:nvGrpSpPr>
          <xdr:grpSpPr>
            <a:xfrm>
              <a:off x="1643062" y="3627882"/>
              <a:ext cx="8560596" cy="4265859"/>
              <a:chOff x="1190624" y="3739889"/>
              <a:chExt cx="8560596" cy="4361990"/>
            </a:xfrm>
          </xdr:grpSpPr>
          <xdr:sp macro="" textlink="">
            <xdr:nvSpPr>
              <xdr:cNvPr id="6" name="Retângulo: Cantos Arredondados 5">
                <a:extLst>
                  <a:ext uri="{FF2B5EF4-FFF2-40B4-BE49-F238E27FC236}">
                    <a16:creationId xmlns:a16="http://schemas.microsoft.com/office/drawing/2014/main" id="{1D0B7874-162F-4084-A5EF-56D86D1CF8C2}"/>
                  </a:ext>
                </a:extLst>
              </xdr:cNvPr>
              <xdr:cNvSpPr/>
            </xdr:nvSpPr>
            <xdr:spPr>
              <a:xfrm>
                <a:off x="1202532" y="3815630"/>
                <a:ext cx="8548688" cy="4286249"/>
              </a:xfrm>
              <a:prstGeom prst="round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3" name="Gráfico 2">
                <a:extLst>
                  <a:ext uri="{FF2B5EF4-FFF2-40B4-BE49-F238E27FC236}">
                    <a16:creationId xmlns:a16="http://schemas.microsoft.com/office/drawing/2014/main" id="{1219899B-6F2F-458B-9D5C-7A738ADAE894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702594" y="5172874"/>
              <a:ext cx="7179468" cy="2518564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9"/>
              </a:graphicData>
            </a:graphic>
          </xdr:graphicFrame>
          <xdr:sp macro="" textlink="">
            <xdr:nvSpPr>
              <xdr:cNvPr id="10" name="Retângulo: Cantos Superiores Arredondados 9">
                <a:extLst>
                  <a:ext uri="{FF2B5EF4-FFF2-40B4-BE49-F238E27FC236}">
                    <a16:creationId xmlns:a16="http://schemas.microsoft.com/office/drawing/2014/main" id="{C4229532-25EC-4C54-BFC7-51D098693052}"/>
                  </a:ext>
                </a:extLst>
              </xdr:cNvPr>
              <xdr:cNvSpPr/>
            </xdr:nvSpPr>
            <xdr:spPr>
              <a:xfrm>
                <a:off x="1190624" y="3739889"/>
                <a:ext cx="8489156" cy="791347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92D05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F49F0E5A-4633-007E-96D5-1D4DE99122FB}"/>
                </a:ext>
              </a:extLst>
            </xdr:cNvPr>
            <xdr:cNvSpPr txBox="1"/>
          </xdr:nvSpPr>
          <xdr:spPr>
            <a:xfrm>
              <a:off x="1964531" y="3784424"/>
              <a:ext cx="5024438" cy="60008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000">
                  <a:solidFill>
                    <a:schemeClr val="bg1">
                      <a:lumMod val="95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Despesas</a:t>
              </a:r>
            </a:p>
          </xdr:txBody>
        </xdr:sp>
      </xdr:grpSp>
      <xdr:pic>
        <xdr:nvPicPr>
          <xdr:cNvPr id="24" name="Gráfico 23" descr="Dinheiro voador estrutura de tópicos">
            <a:extLst>
              <a:ext uri="{FF2B5EF4-FFF2-40B4-BE49-F238E27FC236}">
                <a16:creationId xmlns:a16="http://schemas.microsoft.com/office/drawing/2014/main" id="{AAC28513-92E8-F5B8-B594-2A4D4C97C1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3964781" y="5083968"/>
            <a:ext cx="476250" cy="57150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71437</xdr:colOff>
      <xdr:row>15</xdr:row>
      <xdr:rowOff>178594</xdr:rowOff>
    </xdr:from>
    <xdr:to>
      <xdr:col>0</xdr:col>
      <xdr:colOff>1900237</xdr:colOff>
      <xdr:row>23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MÊS 1">
              <a:extLst>
                <a:ext uri="{FF2B5EF4-FFF2-40B4-BE49-F238E27FC236}">
                  <a16:creationId xmlns:a16="http://schemas.microsoft.com/office/drawing/2014/main" id="{B17B3A68-82C8-47A6-A737-332371EF5B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7" y="3036094"/>
              <a:ext cx="1828800" cy="13930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178594</xdr:rowOff>
    </xdr:from>
    <xdr:to>
      <xdr:col>1</xdr:col>
      <xdr:colOff>0</xdr:colOff>
      <xdr:row>5</xdr:row>
      <xdr:rowOff>0</xdr:rowOff>
    </xdr:to>
    <xdr:sp macro="" textlink="">
      <xdr:nvSpPr>
        <xdr:cNvPr id="45" name="Retângulo: Cantos Arredondados 44">
          <a:extLst>
            <a:ext uri="{FF2B5EF4-FFF2-40B4-BE49-F238E27FC236}">
              <a16:creationId xmlns:a16="http://schemas.microsoft.com/office/drawing/2014/main" id="{DEB3FE47-888C-7291-B795-7ACEEF0B513C}"/>
            </a:ext>
          </a:extLst>
        </xdr:cNvPr>
        <xdr:cNvSpPr/>
      </xdr:nvSpPr>
      <xdr:spPr>
        <a:xfrm>
          <a:off x="0" y="178594"/>
          <a:ext cx="1928813" cy="773906"/>
        </a:xfrm>
        <a:prstGeom prst="roundRect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/>
            <a:t>Money APP</a:t>
          </a:r>
        </a:p>
      </xdr:txBody>
    </xdr:sp>
    <xdr:clientData/>
  </xdr:twoCellAnchor>
  <xdr:twoCellAnchor editAs="oneCell">
    <xdr:from>
      <xdr:col>0</xdr:col>
      <xdr:colOff>1214437</xdr:colOff>
      <xdr:row>1</xdr:row>
      <xdr:rowOff>130968</xdr:rowOff>
    </xdr:from>
    <xdr:to>
      <xdr:col>0</xdr:col>
      <xdr:colOff>1809750</xdr:colOff>
      <xdr:row>3</xdr:row>
      <xdr:rowOff>178594</xdr:rowOff>
    </xdr:to>
    <xdr:pic>
      <xdr:nvPicPr>
        <xdr:cNvPr id="49" name="Gráfico 48" descr="Dinheiro com preenchimento sólido">
          <a:extLst>
            <a:ext uri="{FF2B5EF4-FFF2-40B4-BE49-F238E27FC236}">
              <a16:creationId xmlns:a16="http://schemas.microsoft.com/office/drawing/2014/main" id="{A870521C-4266-82AF-A536-BA121A678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214437" y="321468"/>
          <a:ext cx="595313" cy="428626"/>
        </a:xfrm>
        <a:prstGeom prst="rect">
          <a:avLst/>
        </a:prstGeom>
      </xdr:spPr>
    </xdr:pic>
    <xdr:clientData/>
  </xdr:twoCellAnchor>
  <xdr:twoCellAnchor>
    <xdr:from>
      <xdr:col>11</xdr:col>
      <xdr:colOff>261938</xdr:colOff>
      <xdr:row>7</xdr:row>
      <xdr:rowOff>178594</xdr:rowOff>
    </xdr:from>
    <xdr:to>
      <xdr:col>20</xdr:col>
      <xdr:colOff>535781</xdr:colOff>
      <xdr:row>24</xdr:row>
      <xdr:rowOff>154782</xdr:rowOff>
    </xdr:to>
    <xdr:grpSp>
      <xdr:nvGrpSpPr>
        <xdr:cNvPr id="70" name="Agrupar 69">
          <a:extLst>
            <a:ext uri="{FF2B5EF4-FFF2-40B4-BE49-F238E27FC236}">
              <a16:creationId xmlns:a16="http://schemas.microsoft.com/office/drawing/2014/main" id="{5CC3EA0E-5482-54B7-6452-538014A468EE}"/>
            </a:ext>
          </a:extLst>
        </xdr:cNvPr>
        <xdr:cNvGrpSpPr/>
      </xdr:nvGrpSpPr>
      <xdr:grpSpPr>
        <a:xfrm>
          <a:off x="8262938" y="1512094"/>
          <a:ext cx="5738812" cy="3214688"/>
          <a:chOff x="8262938" y="1512094"/>
          <a:chExt cx="5738812" cy="3214688"/>
        </a:xfrm>
      </xdr:grpSpPr>
      <xdr:grpSp>
        <xdr:nvGrpSpPr>
          <xdr:cNvPr id="60" name="Agrupar 59">
            <a:extLst>
              <a:ext uri="{FF2B5EF4-FFF2-40B4-BE49-F238E27FC236}">
                <a16:creationId xmlns:a16="http://schemas.microsoft.com/office/drawing/2014/main" id="{DEA30262-ED68-49F2-A564-A92776C9697B}"/>
              </a:ext>
            </a:extLst>
          </xdr:cNvPr>
          <xdr:cNvGrpSpPr/>
        </xdr:nvGrpSpPr>
        <xdr:grpSpPr>
          <a:xfrm>
            <a:off x="8262938" y="1512094"/>
            <a:ext cx="5738812" cy="3214688"/>
            <a:chOff x="1916907" y="345281"/>
            <a:chExt cx="5738813" cy="3214688"/>
          </a:xfrm>
        </xdr:grpSpPr>
        <xdr:grpSp>
          <xdr:nvGrpSpPr>
            <xdr:cNvPr id="61" name="Agrupar 60">
              <a:extLst>
                <a:ext uri="{FF2B5EF4-FFF2-40B4-BE49-F238E27FC236}">
                  <a16:creationId xmlns:a16="http://schemas.microsoft.com/office/drawing/2014/main" id="{CD23D08A-EC22-E00E-9EE8-1AE7D694DD8C}"/>
                </a:ext>
              </a:extLst>
            </xdr:cNvPr>
            <xdr:cNvGrpSpPr/>
          </xdr:nvGrpSpPr>
          <xdr:grpSpPr>
            <a:xfrm>
              <a:off x="1916907" y="345281"/>
              <a:ext cx="5738813" cy="3214688"/>
              <a:chOff x="1726406" y="261936"/>
              <a:chExt cx="5738813" cy="3214688"/>
            </a:xfrm>
          </xdr:grpSpPr>
          <xdr:grpSp>
            <xdr:nvGrpSpPr>
              <xdr:cNvPr id="65" name="Agrupar 64">
                <a:extLst>
                  <a:ext uri="{FF2B5EF4-FFF2-40B4-BE49-F238E27FC236}">
                    <a16:creationId xmlns:a16="http://schemas.microsoft.com/office/drawing/2014/main" id="{5ADA17D7-99B1-FE7E-6FA3-88D3214BEE53}"/>
                  </a:ext>
                </a:extLst>
              </xdr:cNvPr>
              <xdr:cNvGrpSpPr/>
            </xdr:nvGrpSpPr>
            <xdr:grpSpPr>
              <a:xfrm>
                <a:off x="1726406" y="261936"/>
                <a:ext cx="5738813" cy="3214688"/>
                <a:chOff x="1571625" y="202405"/>
                <a:chExt cx="5738813" cy="3214688"/>
              </a:xfrm>
            </xdr:grpSpPr>
            <xdr:sp macro="" textlink="">
              <xdr:nvSpPr>
                <xdr:cNvPr id="67" name="Retângulo: Cantos Arredondados 66">
                  <a:extLst>
                    <a:ext uri="{FF2B5EF4-FFF2-40B4-BE49-F238E27FC236}">
                      <a16:creationId xmlns:a16="http://schemas.microsoft.com/office/drawing/2014/main" id="{FDD16DE7-C219-5F22-B4BB-82ED6F8D2DD5}"/>
                    </a:ext>
                  </a:extLst>
                </xdr:cNvPr>
                <xdr:cNvSpPr/>
              </xdr:nvSpPr>
              <xdr:spPr>
                <a:xfrm>
                  <a:off x="1571625" y="261937"/>
                  <a:ext cx="5691188" cy="3155156"/>
                </a:xfrm>
                <a:prstGeom prst="round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68" name="Retângulo: Cantos Superiores Arredondados 67">
                  <a:extLst>
                    <a:ext uri="{FF2B5EF4-FFF2-40B4-BE49-F238E27FC236}">
                      <a16:creationId xmlns:a16="http://schemas.microsoft.com/office/drawing/2014/main" id="{75203AC7-955B-22F7-86E4-E68276692487}"/>
                    </a:ext>
                  </a:extLst>
                </xdr:cNvPr>
                <xdr:cNvSpPr/>
              </xdr:nvSpPr>
              <xdr:spPr>
                <a:xfrm>
                  <a:off x="1583532" y="202405"/>
                  <a:ext cx="5726906" cy="452438"/>
                </a:xfrm>
                <a:prstGeom prst="round2SameRect">
                  <a:avLst>
                    <a:gd name="adj1" fmla="val 50000"/>
                    <a:gd name="adj2" fmla="val 0"/>
                  </a:avLst>
                </a:prstGeom>
                <a:solidFill>
                  <a:srgbClr val="92D05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</xdr:grpSp>
          <xdr:sp macro="" textlink="">
            <xdr:nvSpPr>
              <xdr:cNvPr id="64" name="CaixaDeTexto 63">
                <a:extLst>
                  <a:ext uri="{FF2B5EF4-FFF2-40B4-BE49-F238E27FC236}">
                    <a16:creationId xmlns:a16="http://schemas.microsoft.com/office/drawing/2014/main" id="{9F7C8EB8-9174-A286-F28A-642926995319}"/>
                  </a:ext>
                </a:extLst>
              </xdr:cNvPr>
              <xdr:cNvSpPr txBox="1"/>
            </xdr:nvSpPr>
            <xdr:spPr>
              <a:xfrm>
                <a:off x="2381250" y="333375"/>
                <a:ext cx="4595812" cy="35718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pt-BR" sz="2000">
                    <a:solidFill>
                      <a:schemeClr val="bg1">
                        <a:lumMod val="9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Economias</a:t>
                </a:r>
              </a:p>
            </xdr:txBody>
          </xdr:sp>
        </xdr:grpSp>
        <xdr:pic>
          <xdr:nvPicPr>
            <xdr:cNvPr id="62" name="Gráfico 61" descr="Cofrinho estrutura de tópicos">
              <a:extLst>
                <a:ext uri="{FF2B5EF4-FFF2-40B4-BE49-F238E27FC236}">
                  <a16:creationId xmlns:a16="http://schemas.microsoft.com/office/drawing/2014/main" id="{E8FBF0D7-6AC8-4933-FAFF-6887C9FBF57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5"/>
                </a:ext>
              </a:extLst>
            </a:blip>
            <a:srcRect/>
            <a:stretch/>
          </xdr:blipFill>
          <xdr:spPr>
            <a:xfrm>
              <a:off x="2065733" y="369094"/>
              <a:ext cx="428625" cy="428625"/>
            </a:xfrm>
            <a:prstGeom prst="rect">
              <a:avLst/>
            </a:prstGeom>
          </xdr:spPr>
        </xdr:pic>
      </xdr:grpSp>
      <xdr:graphicFrame macro="">
        <xdr:nvGraphicFramePr>
          <xdr:cNvPr id="69" name="Gráfico 68">
            <a:extLst>
              <a:ext uri="{FF2B5EF4-FFF2-40B4-BE49-F238E27FC236}">
                <a16:creationId xmlns:a16="http://schemas.microsoft.com/office/drawing/2014/main" id="{B5D5DDF6-0307-4540-9020-C7440BBAE47C}"/>
              </a:ext>
            </a:extLst>
          </xdr:cNvPr>
          <xdr:cNvGraphicFramePr>
            <a:graphicFrameLocks/>
          </xdr:cNvGraphicFramePr>
        </xdr:nvGraphicFramePr>
        <xdr:xfrm>
          <a:off x="9274970" y="2035968"/>
          <a:ext cx="3352800" cy="261223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eria Menezes Geraldo" refreshedDate="45665.635599074078" createdVersion="8" refreshedVersion="8" minRefreshableVersion="3" recordCount="20" xr:uid="{069EA9CB-F1F5-43A0-B2F4-8DE00484A8E4}">
  <cacheSource type="worksheet">
    <worksheetSource name="tbl­_operations"/>
  </cacheSource>
  <cacheFields count="8">
    <cacheField name="Data" numFmtId="14">
      <sharedItems containsSemiMixedTypes="0" containsNonDate="0" containsDate="1" containsString="0" minDate="2024-09-01T00:00:00" maxDate="2024-12-11T00:00:00"/>
    </cacheField>
    <cacheField name="MÊS" numFmtId="1">
      <sharedItems containsSemiMixedTypes="0" containsString="0" containsNumber="1" containsInteger="1" minValue="1" maxValue="12" count="5">
        <n v="9"/>
        <n v="12"/>
        <n v="11"/>
        <n v="10"/>
        <n v="1" u="1"/>
      </sharedItems>
    </cacheField>
    <cacheField name="Tipo" numFmtId="0">
      <sharedItems count="3">
        <s v="Receita"/>
        <s v="Despesa"/>
        <s v=" Receita" u="1"/>
      </sharedItems>
    </cacheField>
    <cacheField name="Categoria" numFmtId="0">
      <sharedItems count="12">
        <s v="Salário"/>
        <s v="Alimetação"/>
        <s v="Freelancer"/>
        <s v="Transporte"/>
        <s v="Lazer"/>
        <s v="Venda"/>
        <s v="Saúde"/>
        <s v="Moradia"/>
        <s v="Investimentos"/>
        <s v="Comunicação"/>
        <s v="Educação"/>
        <s v="Entretenimento"/>
      </sharedItems>
    </cacheField>
    <cacheField name="Descrição" numFmtId="0">
      <sharedItems/>
    </cacheField>
    <cacheField name="Valor" numFmtId="169">
      <sharedItems containsSemiMixedTypes="0" containsString="0" containsNumber="1" containsInteger="1" minValue="50" maxValue="3500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8839674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4-09-01T00:00:00"/>
    <x v="0"/>
    <x v="0"/>
    <x v="0"/>
    <s v="Salário Mensal"/>
    <n v="3500"/>
    <s v="Depósito"/>
    <s v="Confirmado"/>
  </r>
  <r>
    <d v="2024-09-02T00:00:00"/>
    <x v="0"/>
    <x v="1"/>
    <x v="1"/>
    <s v="Supermercado"/>
    <n v="250"/>
    <s v="Cartão de crédito"/>
    <s v="Pendente"/>
  </r>
  <r>
    <d v="2024-09-03T00:00:00"/>
    <x v="0"/>
    <x v="0"/>
    <x v="2"/>
    <s v="Trabalho como freelancer"/>
    <n v="800"/>
    <s v="Transferência"/>
    <s v="Confirmado"/>
  </r>
  <r>
    <d v="2024-09-05T00:00:00"/>
    <x v="0"/>
    <x v="1"/>
    <x v="3"/>
    <s v="Combustível"/>
    <n v="150"/>
    <s v="Cartão de débito"/>
    <s v="Confirmado"/>
  </r>
  <r>
    <d v="2024-09-04T00:00:00"/>
    <x v="0"/>
    <x v="1"/>
    <x v="4"/>
    <s v="Cinema"/>
    <n v="60"/>
    <s v="Dinheiro"/>
    <s v="Confirmado"/>
  </r>
  <r>
    <d v="2024-12-06T00:00:00"/>
    <x v="1"/>
    <x v="0"/>
    <x v="5"/>
    <s v="Venda de Produto"/>
    <n v="500"/>
    <s v="Transferência"/>
    <s v="Confirmado"/>
  </r>
  <r>
    <d v="2024-12-07T00:00:00"/>
    <x v="1"/>
    <x v="1"/>
    <x v="6"/>
    <s v="Consulta Médica"/>
    <n v="200"/>
    <s v="Dinheiro"/>
    <s v="Pendente"/>
  </r>
  <r>
    <d v="2024-12-08T00:00:00"/>
    <x v="1"/>
    <x v="1"/>
    <x v="7"/>
    <s v="Aluguel"/>
    <n v="1200"/>
    <s v="Transferência"/>
    <s v="Confirmado"/>
  </r>
  <r>
    <d v="2024-12-09T00:00:00"/>
    <x v="1"/>
    <x v="0"/>
    <x v="8"/>
    <s v="Rendimentos Bancários"/>
    <n v="120"/>
    <s v="Crédito Bancário"/>
    <s v="Confirmado"/>
  </r>
  <r>
    <d v="2024-12-10T00:00:00"/>
    <x v="1"/>
    <x v="1"/>
    <x v="9"/>
    <s v="Conta de Internet"/>
    <n v="130"/>
    <s v="Carrão de crédito"/>
    <s v="Pendente"/>
  </r>
  <r>
    <d v="2024-11-11T00:00:00"/>
    <x v="2"/>
    <x v="1"/>
    <x v="10"/>
    <s v="Curso Online"/>
    <n v="150"/>
    <s v="Boleto Bancário"/>
    <s v="Confirmado"/>
  </r>
  <r>
    <d v="2024-11-12T00:00:00"/>
    <x v="2"/>
    <x v="0"/>
    <x v="5"/>
    <s v="Venda de Roupas"/>
    <n v="300"/>
    <s v="Transferência"/>
    <s v="Confirmado"/>
  </r>
  <r>
    <d v="2024-11-13T00:00:00"/>
    <x v="2"/>
    <x v="1"/>
    <x v="11"/>
    <s v="Jantar com Amigos"/>
    <n v="180"/>
    <s v="Dinheiro"/>
    <s v="Confirmado"/>
  </r>
  <r>
    <d v="2024-11-14T00:00:00"/>
    <x v="2"/>
    <x v="1"/>
    <x v="3"/>
    <s v="Táxi"/>
    <n v="50"/>
    <s v="Cartão de débito"/>
    <s v="Confirmado"/>
  </r>
  <r>
    <d v="2024-11-15T00:00:00"/>
    <x v="2"/>
    <x v="0"/>
    <x v="2"/>
    <s v="Consultoria"/>
    <n v="1000"/>
    <s v="Transferência"/>
    <s v="Confirmado"/>
  </r>
  <r>
    <d v="2024-10-16T00:00:00"/>
    <x v="3"/>
    <x v="1"/>
    <x v="7"/>
    <s v="Condomínio"/>
    <n v="450"/>
    <s v="Transferência"/>
    <s v="Confirmado"/>
  </r>
  <r>
    <d v="2024-10-17T00:00:00"/>
    <x v="3"/>
    <x v="1"/>
    <x v="1"/>
    <s v="Restaurante"/>
    <n v="70"/>
    <s v="Dinheiro"/>
    <s v="Confirmado"/>
  </r>
  <r>
    <d v="2024-10-18T00:00:00"/>
    <x v="3"/>
    <x v="0"/>
    <x v="8"/>
    <s v="Ações"/>
    <n v="200"/>
    <s v="Crédito Bancário"/>
    <s v="Confirmado"/>
  </r>
  <r>
    <d v="2024-10-19T00:00:00"/>
    <x v="3"/>
    <x v="1"/>
    <x v="6"/>
    <s v="Medicamentos"/>
    <n v="100"/>
    <s v="Cartão de débito"/>
    <s v="Confirmado"/>
  </r>
  <r>
    <d v="2024-10-20T00:00:00"/>
    <x v="3"/>
    <x v="0"/>
    <x v="0"/>
    <s v="Salário Mensal"/>
    <n v="3500"/>
    <s v="Depósito"/>
    <s v="Confirm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66E03-65DD-4D1F-A3A3-32471B4AE184}" name="Tabela dinâmica3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H4:I9" firstHeaderRow="1" firstDataRow="1" firstDataCol="1" rowPageCount="1" colPageCount="1"/>
  <pivotFields count="8">
    <pivotField numFmtId="14" showAll="0"/>
    <pivotField numFmtId="1" showAll="0"/>
    <pivotField axis="axisPage" multipleItemSelectionAllowed="1" showAll="0">
      <items count="4">
        <item m="1" x="2"/>
        <item h="1" x="1"/>
        <item x="0"/>
        <item t="default"/>
      </items>
    </pivotField>
    <pivotField axis="axisRow" showAll="0">
      <items count="13">
        <item x="1"/>
        <item x="9"/>
        <item x="10"/>
        <item x="11"/>
        <item x="2"/>
        <item x="8"/>
        <item x="4"/>
        <item x="7"/>
        <item x="0"/>
        <item x="6"/>
        <item x="3"/>
        <item x="5"/>
        <item t="default"/>
      </items>
    </pivotField>
    <pivotField showAll="0"/>
    <pivotField dataField="1" numFmtId="169" showAll="0"/>
    <pivotField showAll="0"/>
    <pivotField showAll="0"/>
  </pivotFields>
  <rowFields count="1">
    <field x="3"/>
  </rowFields>
  <rowItems count="5">
    <i>
      <x v="4"/>
    </i>
    <i>
      <x v="5"/>
    </i>
    <i>
      <x v="8"/>
    </i>
    <i>
      <x v="11"/>
    </i>
    <i t="grand">
      <x/>
    </i>
  </rowItems>
  <colItems count="1">
    <i/>
  </colItems>
  <pageFields count="1">
    <pageField fld="2" hier="-1"/>
  </pageFields>
  <dataFields count="1">
    <dataField name="Soma de Valor" fld="5" baseField="2" baseItem="0" numFmtId="169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B7A4B-A5D3-4904-9463-67460541FCE8}" name="Tabela dinâmica2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D4:E13" firstHeaderRow="1" firstDataRow="1" firstDataCol="1" rowPageCount="1" colPageCount="1"/>
  <pivotFields count="8">
    <pivotField numFmtId="14" showAll="0"/>
    <pivotField numFmtId="1" showAll="0">
      <items count="6">
        <item h="1" m="1" x="4"/>
        <item x="0"/>
        <item x="3"/>
        <item x="2"/>
        <item x="1"/>
        <item t="default"/>
      </items>
    </pivotField>
    <pivotField axis="axisPage" multipleItemSelectionAllowed="1" showAll="0">
      <items count="4">
        <item h="1" m="1" x="2"/>
        <item x="1"/>
        <item h="1" x="0"/>
        <item t="default"/>
      </items>
    </pivotField>
    <pivotField axis="axisRow" showAll="0">
      <items count="13">
        <item x="1"/>
        <item x="9"/>
        <item x="10"/>
        <item x="11"/>
        <item x="2"/>
        <item x="8"/>
        <item x="4"/>
        <item x="7"/>
        <item x="0"/>
        <item x="6"/>
        <item x="3"/>
        <item x="5"/>
        <item t="default"/>
      </items>
    </pivotField>
    <pivotField showAll="0"/>
    <pivotField dataField="1" numFmtId="169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6"/>
    </i>
    <i>
      <x v="7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oma de Valor" fld="5" baseField="2" baseItem="0" numFmtId="169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2C062D75-4480-42A1-877E-8426F28C0BF1}" sourceName="MÊS">
  <pivotTables>
    <pivotTable tabId="2" name="Tabela dinâmica2"/>
  </pivotTables>
  <data>
    <tabular pivotCacheId="1883967410">
      <items count="5">
        <i x="0" s="1"/>
        <i x="3" s="1"/>
        <i x="2" s="1"/>
        <i x="1" s="1"/>
        <i x="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091A123C-B482-400E-BB3E-DC494D3BE628}" cache="SegmentaçãodeDados_MÊS" caption="MÊS" style="SlicerStyleLight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" xr10:uid="{CBCC9EE7-8830-4980-AD05-8497170CDF17}" cache="SegmentaçãodeDados_MÊS" caption="MÊS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9230D6-CCC0-43D5-AF64-E1C6CCBA7A3F}" name="tbl­_operations" displayName="tbl­_operations" ref="A1:H21" totalsRowShown="0">
  <autoFilter ref="A1:H21" xr:uid="{1A9230D6-CCC0-43D5-AF64-E1C6CCBA7A3F}"/>
  <tableColumns count="8">
    <tableColumn id="1" xr3:uid="{DC159AB1-4F3A-4BF2-8B53-F9362FC79895}" name="Data" dataDxfId="8"/>
    <tableColumn id="8" xr3:uid="{AAF96F85-ABC7-4903-8C89-09ED6F874E5F}" name="MÊS" dataDxfId="7">
      <calculatedColumnFormula>MONTH(tbl­_operations[[#This Row],[Data]])</calculatedColumnFormula>
    </tableColumn>
    <tableColumn id="2" xr3:uid="{0F47E827-96F4-4E65-91F6-BC5B0E013191}" name="Tipo"/>
    <tableColumn id="3" xr3:uid="{B029AEEC-967E-4960-8BFB-B024B7D1051B}" name="Categoria"/>
    <tableColumn id="4" xr3:uid="{0E218C1D-2D12-4395-AF91-FE8B25BDEBE6}" name="Descrição"/>
    <tableColumn id="5" xr3:uid="{E1DB0CA0-2AA2-4C90-BFB8-8895A47C3942}" name="Valor" dataDxfId="9"/>
    <tableColumn id="6" xr3:uid="{06CF6F21-7E7E-440F-9507-845C8FEF12A1}" name="Operação bancária"/>
    <tableColumn id="7" xr3:uid="{5D94E5AB-76FE-407F-AF07-5836FBDD9AEB}" name="Status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77D80A-CE89-4D6D-8868-4056DE0A3628}" name="Tabela2" displayName="Tabela2" ref="C6:D19" totalsRowShown="0" headerRowDxfId="2">
  <autoFilter ref="C6:D19" xr:uid="{EC77D80A-CE89-4D6D-8868-4056DE0A3628}"/>
  <tableColumns count="2">
    <tableColumn id="1" xr3:uid="{51EDB55E-9A02-4AA8-AA17-BF867384C9C5}" name="Data de Lançamento"/>
    <tableColumn id="2" xr3:uid="{3890099D-5403-415F-9C1D-7BEAE55CABB3}" name="Depósito Reservado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1177-4F1D-403A-8642-701681D897F2}">
  <sheetPr>
    <tabColor rgb="FF00B0F0"/>
  </sheetPr>
  <dimension ref="A1:N22"/>
  <sheetViews>
    <sheetView workbookViewId="0">
      <selection activeCell="D24" sqref="D24"/>
    </sheetView>
  </sheetViews>
  <sheetFormatPr defaultRowHeight="15" x14ac:dyDescent="0.25"/>
  <cols>
    <col min="1" max="1" width="10.7109375" bestFit="1" customWidth="1"/>
    <col min="2" max="2" width="10.7109375" customWidth="1"/>
    <col min="3" max="3" width="8.42578125" bestFit="1" customWidth="1"/>
    <col min="4" max="4" width="15.28515625" bestFit="1" customWidth="1"/>
    <col min="5" max="5" width="24" bestFit="1" customWidth="1"/>
    <col min="6" max="6" width="10.7109375" bestFit="1" customWidth="1"/>
    <col min="7" max="7" width="19.85546875" bestFit="1" customWidth="1"/>
    <col min="8" max="8" width="11.42578125" bestFit="1" customWidth="1"/>
  </cols>
  <sheetData>
    <row r="1" spans="1:14" x14ac:dyDescent="0.25">
      <c r="A1" t="s">
        <v>0</v>
      </c>
      <c r="B1" t="s">
        <v>55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4" x14ac:dyDescent="0.25">
      <c r="A2" s="2">
        <v>45536</v>
      </c>
      <c r="B2" s="8">
        <f>MONTH(tbl­_operations[[#This Row],[Data]])</f>
        <v>9</v>
      </c>
      <c r="C2" t="s">
        <v>31</v>
      </c>
      <c r="D2" t="s">
        <v>7</v>
      </c>
      <c r="E2" t="s">
        <v>8</v>
      </c>
      <c r="F2" s="3">
        <v>3500</v>
      </c>
      <c r="G2" t="s">
        <v>9</v>
      </c>
      <c r="H2" t="s">
        <v>10</v>
      </c>
      <c r="N2" s="1"/>
    </row>
    <row r="3" spans="1:14" x14ac:dyDescent="0.25">
      <c r="A3" s="2">
        <v>45537</v>
      </c>
      <c r="B3" s="8">
        <f>MONTH(tbl­_operations[[#This Row],[Data]])</f>
        <v>9</v>
      </c>
      <c r="C3" t="s">
        <v>11</v>
      </c>
      <c r="D3" t="s">
        <v>12</v>
      </c>
      <c r="E3" t="s">
        <v>13</v>
      </c>
      <c r="F3" s="3">
        <v>250</v>
      </c>
      <c r="G3" t="s">
        <v>14</v>
      </c>
      <c r="H3" t="s">
        <v>15</v>
      </c>
      <c r="N3" s="1"/>
    </row>
    <row r="4" spans="1:14" x14ac:dyDescent="0.25">
      <c r="A4" s="2">
        <v>45538</v>
      </c>
      <c r="B4" s="8">
        <f>MONTH(tbl­_operations[[#This Row],[Data]])</f>
        <v>9</v>
      </c>
      <c r="C4" t="s">
        <v>31</v>
      </c>
      <c r="D4" t="s">
        <v>16</v>
      </c>
      <c r="E4" t="s">
        <v>17</v>
      </c>
      <c r="F4" s="3">
        <v>800</v>
      </c>
      <c r="G4" t="s">
        <v>18</v>
      </c>
      <c r="H4" t="s">
        <v>10</v>
      </c>
      <c r="N4" s="1"/>
    </row>
    <row r="5" spans="1:14" x14ac:dyDescent="0.25">
      <c r="A5" s="2">
        <v>45540</v>
      </c>
      <c r="B5" s="8">
        <f>MONTH(tbl­_operations[[#This Row],[Data]])</f>
        <v>9</v>
      </c>
      <c r="C5" t="s">
        <v>11</v>
      </c>
      <c r="D5" t="s">
        <v>19</v>
      </c>
      <c r="E5" t="s">
        <v>20</v>
      </c>
      <c r="F5" s="3">
        <v>150</v>
      </c>
      <c r="G5" t="s">
        <v>21</v>
      </c>
      <c r="H5" t="s">
        <v>10</v>
      </c>
      <c r="N5" s="1"/>
    </row>
    <row r="6" spans="1:14" x14ac:dyDescent="0.25">
      <c r="A6" s="2">
        <v>45539</v>
      </c>
      <c r="B6" s="8">
        <f>MONTH(tbl­_operations[[#This Row],[Data]])</f>
        <v>9</v>
      </c>
      <c r="C6" t="s">
        <v>11</v>
      </c>
      <c r="D6" t="s">
        <v>22</v>
      </c>
      <c r="E6" t="s">
        <v>23</v>
      </c>
      <c r="F6" s="3">
        <v>60</v>
      </c>
      <c r="G6" t="s">
        <v>24</v>
      </c>
      <c r="H6" t="s">
        <v>10</v>
      </c>
      <c r="N6" s="1"/>
    </row>
    <row r="7" spans="1:14" x14ac:dyDescent="0.25">
      <c r="A7" s="2">
        <v>45632</v>
      </c>
      <c r="B7" s="8">
        <f>MONTH(tbl­_operations[[#This Row],[Data]])</f>
        <v>12</v>
      </c>
      <c r="C7" t="s">
        <v>31</v>
      </c>
      <c r="D7" t="s">
        <v>25</v>
      </c>
      <c r="E7" t="s">
        <v>26</v>
      </c>
      <c r="F7" s="3">
        <v>500</v>
      </c>
      <c r="G7" t="s">
        <v>18</v>
      </c>
      <c r="H7" t="s">
        <v>10</v>
      </c>
      <c r="N7" s="1"/>
    </row>
    <row r="8" spans="1:14" x14ac:dyDescent="0.25">
      <c r="A8" s="2">
        <v>45633</v>
      </c>
      <c r="B8" s="8">
        <f>MONTH(tbl­_operations[[#This Row],[Data]])</f>
        <v>12</v>
      </c>
      <c r="C8" t="s">
        <v>11</v>
      </c>
      <c r="D8" t="s">
        <v>27</v>
      </c>
      <c r="E8" t="s">
        <v>28</v>
      </c>
      <c r="F8" s="3">
        <v>200</v>
      </c>
      <c r="G8" t="s">
        <v>24</v>
      </c>
      <c r="H8" t="s">
        <v>15</v>
      </c>
      <c r="N8" s="1"/>
    </row>
    <row r="9" spans="1:14" x14ac:dyDescent="0.25">
      <c r="A9" s="2">
        <v>45634</v>
      </c>
      <c r="B9" s="8">
        <f>MONTH(tbl­_operations[[#This Row],[Data]])</f>
        <v>12</v>
      </c>
      <c r="C9" t="s">
        <v>11</v>
      </c>
      <c r="D9" t="s">
        <v>29</v>
      </c>
      <c r="E9" t="s">
        <v>30</v>
      </c>
      <c r="F9" s="3">
        <v>1200</v>
      </c>
      <c r="G9" t="s">
        <v>18</v>
      </c>
      <c r="H9" t="s">
        <v>10</v>
      </c>
      <c r="N9" s="1"/>
    </row>
    <row r="10" spans="1:14" x14ac:dyDescent="0.25">
      <c r="A10" s="2">
        <v>45635</v>
      </c>
      <c r="B10" s="8">
        <f>MONTH(tbl­_operations[[#This Row],[Data]])</f>
        <v>12</v>
      </c>
      <c r="C10" t="s">
        <v>31</v>
      </c>
      <c r="D10" t="s">
        <v>32</v>
      </c>
      <c r="E10" t="s">
        <v>33</v>
      </c>
      <c r="F10" s="3">
        <v>120</v>
      </c>
      <c r="G10" t="s">
        <v>34</v>
      </c>
      <c r="H10" t="s">
        <v>10</v>
      </c>
      <c r="N10" s="1"/>
    </row>
    <row r="11" spans="1:14" x14ac:dyDescent="0.25">
      <c r="A11" s="2">
        <v>45636</v>
      </c>
      <c r="B11" s="8">
        <f>MONTH(tbl­_operations[[#This Row],[Data]])</f>
        <v>12</v>
      </c>
      <c r="C11" t="s">
        <v>11</v>
      </c>
      <c r="D11" t="s">
        <v>35</v>
      </c>
      <c r="E11" t="s">
        <v>36</v>
      </c>
      <c r="F11" s="3">
        <v>130</v>
      </c>
      <c r="G11" t="s">
        <v>37</v>
      </c>
      <c r="H11" t="s">
        <v>15</v>
      </c>
      <c r="N11" s="1"/>
    </row>
    <row r="12" spans="1:14" x14ac:dyDescent="0.25">
      <c r="A12" s="2">
        <v>45607</v>
      </c>
      <c r="B12" s="8">
        <f>MONTH(tbl­_operations[[#This Row],[Data]])</f>
        <v>11</v>
      </c>
      <c r="C12" t="s">
        <v>11</v>
      </c>
      <c r="D12" t="s">
        <v>38</v>
      </c>
      <c r="E12" t="s">
        <v>39</v>
      </c>
      <c r="F12" s="3">
        <v>150</v>
      </c>
      <c r="G12" t="s">
        <v>40</v>
      </c>
      <c r="H12" t="s">
        <v>10</v>
      </c>
      <c r="N12" s="1"/>
    </row>
    <row r="13" spans="1:14" x14ac:dyDescent="0.25">
      <c r="A13" s="2">
        <v>45608</v>
      </c>
      <c r="B13" s="8">
        <f>MONTH(tbl­_operations[[#This Row],[Data]])</f>
        <v>11</v>
      </c>
      <c r="C13" t="s">
        <v>31</v>
      </c>
      <c r="D13" t="s">
        <v>25</v>
      </c>
      <c r="E13" t="s">
        <v>41</v>
      </c>
      <c r="F13" s="3">
        <v>300</v>
      </c>
      <c r="G13" t="s">
        <v>18</v>
      </c>
      <c r="H13" t="s">
        <v>10</v>
      </c>
      <c r="N13" s="1"/>
    </row>
    <row r="14" spans="1:14" x14ac:dyDescent="0.25">
      <c r="A14" s="2">
        <v>45609</v>
      </c>
      <c r="B14" s="8">
        <f>MONTH(tbl­_operations[[#This Row],[Data]])</f>
        <v>11</v>
      </c>
      <c r="C14" t="s">
        <v>11</v>
      </c>
      <c r="D14" t="s">
        <v>42</v>
      </c>
      <c r="E14" t="s">
        <v>43</v>
      </c>
      <c r="F14" s="3">
        <v>180</v>
      </c>
      <c r="G14" t="s">
        <v>24</v>
      </c>
      <c r="H14" t="s">
        <v>10</v>
      </c>
      <c r="N14" s="1"/>
    </row>
    <row r="15" spans="1:14" x14ac:dyDescent="0.25">
      <c r="A15" s="2">
        <v>45610</v>
      </c>
      <c r="B15" s="8">
        <f>MONTH(tbl­_operations[[#This Row],[Data]])</f>
        <v>11</v>
      </c>
      <c r="C15" t="s">
        <v>11</v>
      </c>
      <c r="D15" t="s">
        <v>19</v>
      </c>
      <c r="E15" t="s">
        <v>44</v>
      </c>
      <c r="F15" s="3">
        <v>50</v>
      </c>
      <c r="G15" t="s">
        <v>45</v>
      </c>
      <c r="H15" t="s">
        <v>10</v>
      </c>
      <c r="N15" s="1"/>
    </row>
    <row r="16" spans="1:14" x14ac:dyDescent="0.25">
      <c r="A16" s="2">
        <v>45611</v>
      </c>
      <c r="B16" s="8">
        <f>MONTH(tbl­_operations[[#This Row],[Data]])</f>
        <v>11</v>
      </c>
      <c r="C16" t="s">
        <v>31</v>
      </c>
      <c r="D16" t="s">
        <v>16</v>
      </c>
      <c r="E16" t="s">
        <v>46</v>
      </c>
      <c r="F16" s="3">
        <v>1000</v>
      </c>
      <c r="G16" t="s">
        <v>18</v>
      </c>
      <c r="H16" t="s">
        <v>10</v>
      </c>
      <c r="N16" s="1"/>
    </row>
    <row r="17" spans="1:14" x14ac:dyDescent="0.25">
      <c r="A17" s="2">
        <v>45581</v>
      </c>
      <c r="B17" s="8">
        <f>MONTH(tbl­_operations[[#This Row],[Data]])</f>
        <v>10</v>
      </c>
      <c r="C17" t="s">
        <v>11</v>
      </c>
      <c r="D17" t="s">
        <v>29</v>
      </c>
      <c r="E17" t="s">
        <v>47</v>
      </c>
      <c r="F17" s="3">
        <v>450</v>
      </c>
      <c r="G17" t="s">
        <v>18</v>
      </c>
      <c r="H17" t="s">
        <v>10</v>
      </c>
      <c r="N17" s="1"/>
    </row>
    <row r="18" spans="1:14" x14ac:dyDescent="0.25">
      <c r="A18" s="2">
        <v>45582</v>
      </c>
      <c r="B18" s="8">
        <f>MONTH(tbl­_operations[[#This Row],[Data]])</f>
        <v>10</v>
      </c>
      <c r="C18" t="s">
        <v>11</v>
      </c>
      <c r="D18" t="s">
        <v>12</v>
      </c>
      <c r="E18" t="s">
        <v>48</v>
      </c>
      <c r="F18" s="3">
        <v>70</v>
      </c>
      <c r="G18" t="s">
        <v>24</v>
      </c>
      <c r="H18" t="s">
        <v>10</v>
      </c>
      <c r="N18" s="1"/>
    </row>
    <row r="19" spans="1:14" x14ac:dyDescent="0.25">
      <c r="A19" s="2">
        <v>45583</v>
      </c>
      <c r="B19" s="8">
        <f>MONTH(tbl­_operations[[#This Row],[Data]])</f>
        <v>10</v>
      </c>
      <c r="C19" t="s">
        <v>31</v>
      </c>
      <c r="D19" t="s">
        <v>32</v>
      </c>
      <c r="E19" t="s">
        <v>49</v>
      </c>
      <c r="F19" s="3">
        <v>200</v>
      </c>
      <c r="G19" t="s">
        <v>34</v>
      </c>
      <c r="H19" t="s">
        <v>10</v>
      </c>
      <c r="N19" s="1"/>
    </row>
    <row r="20" spans="1:14" x14ac:dyDescent="0.25">
      <c r="A20" s="2">
        <v>45584</v>
      </c>
      <c r="B20" s="8">
        <f>MONTH(tbl­_operations[[#This Row],[Data]])</f>
        <v>10</v>
      </c>
      <c r="C20" t="s">
        <v>11</v>
      </c>
      <c r="D20" t="s">
        <v>27</v>
      </c>
      <c r="E20" t="s">
        <v>50</v>
      </c>
      <c r="F20" s="3">
        <v>100</v>
      </c>
      <c r="G20" t="s">
        <v>21</v>
      </c>
      <c r="H20" t="s">
        <v>10</v>
      </c>
      <c r="N20" s="1"/>
    </row>
    <row r="21" spans="1:14" x14ac:dyDescent="0.25">
      <c r="A21" s="2">
        <v>45585</v>
      </c>
      <c r="B21" s="8">
        <f>MONTH(tbl­_operations[[#This Row],[Data]])</f>
        <v>10</v>
      </c>
      <c r="C21" t="s">
        <v>31</v>
      </c>
      <c r="D21" t="s">
        <v>7</v>
      </c>
      <c r="E21" t="s">
        <v>8</v>
      </c>
      <c r="F21" s="3">
        <v>3500</v>
      </c>
      <c r="G21" t="s">
        <v>9</v>
      </c>
      <c r="H21" t="s">
        <v>10</v>
      </c>
      <c r="N21" s="1"/>
    </row>
    <row r="22" spans="1:14" x14ac:dyDescent="0.25">
      <c r="N22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1D0E-C318-423A-B077-B753A9E02A20}">
  <sheetPr>
    <tabColor rgb="FF00B0F0"/>
  </sheetPr>
  <dimension ref="D1:I13"/>
  <sheetViews>
    <sheetView workbookViewId="0">
      <selection activeCell="D24" sqref="D24"/>
    </sheetView>
  </sheetViews>
  <sheetFormatPr defaultRowHeight="15" x14ac:dyDescent="0.25"/>
  <cols>
    <col min="4" max="4" width="18" bestFit="1" customWidth="1"/>
    <col min="5" max="6" width="13.85546875" bestFit="1" customWidth="1"/>
    <col min="8" max="8" width="18" bestFit="1" customWidth="1"/>
    <col min="9" max="9" width="13.85546875" bestFit="1" customWidth="1"/>
  </cols>
  <sheetData>
    <row r="1" spans="4:9" x14ac:dyDescent="0.25">
      <c r="D1" t="s">
        <v>54</v>
      </c>
    </row>
    <row r="2" spans="4:9" x14ac:dyDescent="0.25">
      <c r="D2" s="4" t="s">
        <v>1</v>
      </c>
      <c r="E2" t="s">
        <v>11</v>
      </c>
      <c r="H2" s="4" t="s">
        <v>1</v>
      </c>
      <c r="I2" t="s">
        <v>31</v>
      </c>
    </row>
    <row r="4" spans="4:9" x14ac:dyDescent="0.25">
      <c r="D4" s="4" t="s">
        <v>51</v>
      </c>
      <c r="E4" t="s">
        <v>53</v>
      </c>
      <c r="H4" s="4" t="s">
        <v>51</v>
      </c>
      <c r="I4" t="s">
        <v>53</v>
      </c>
    </row>
    <row r="5" spans="4:9" x14ac:dyDescent="0.25">
      <c r="D5" s="5" t="s">
        <v>12</v>
      </c>
      <c r="E5" s="3">
        <v>320</v>
      </c>
      <c r="H5" s="5" t="s">
        <v>16</v>
      </c>
      <c r="I5" s="3">
        <v>1800</v>
      </c>
    </row>
    <row r="6" spans="4:9" x14ac:dyDescent="0.25">
      <c r="D6" s="5" t="s">
        <v>35</v>
      </c>
      <c r="E6" s="3">
        <v>130</v>
      </c>
      <c r="H6" s="5" t="s">
        <v>32</v>
      </c>
      <c r="I6" s="3">
        <v>320</v>
      </c>
    </row>
    <row r="7" spans="4:9" x14ac:dyDescent="0.25">
      <c r="D7" s="5" t="s">
        <v>38</v>
      </c>
      <c r="E7" s="3">
        <v>150</v>
      </c>
      <c r="H7" s="5" t="s">
        <v>7</v>
      </c>
      <c r="I7" s="3">
        <v>7000</v>
      </c>
    </row>
    <row r="8" spans="4:9" x14ac:dyDescent="0.25">
      <c r="D8" s="5" t="s">
        <v>42</v>
      </c>
      <c r="E8" s="3">
        <v>180</v>
      </c>
      <c r="H8" s="5" t="s">
        <v>25</v>
      </c>
      <c r="I8" s="3">
        <v>800</v>
      </c>
    </row>
    <row r="9" spans="4:9" x14ac:dyDescent="0.25">
      <c r="D9" s="5" t="s">
        <v>22</v>
      </c>
      <c r="E9" s="3">
        <v>60</v>
      </c>
      <c r="H9" s="5" t="s">
        <v>52</v>
      </c>
      <c r="I9" s="3">
        <v>9920</v>
      </c>
    </row>
    <row r="10" spans="4:9" x14ac:dyDescent="0.25">
      <c r="D10" s="5" t="s">
        <v>29</v>
      </c>
      <c r="E10" s="3">
        <v>1650</v>
      </c>
    </row>
    <row r="11" spans="4:9" x14ac:dyDescent="0.25">
      <c r="D11" s="5" t="s">
        <v>27</v>
      </c>
      <c r="E11" s="3">
        <v>300</v>
      </c>
    </row>
    <row r="12" spans="4:9" x14ac:dyDescent="0.25">
      <c r="D12" s="5" t="s">
        <v>19</v>
      </c>
      <c r="E12" s="3">
        <v>200</v>
      </c>
    </row>
    <row r="13" spans="4:9" x14ac:dyDescent="0.25">
      <c r="D13" s="5" t="s">
        <v>52</v>
      </c>
      <c r="E13" s="3">
        <v>2990</v>
      </c>
    </row>
  </sheetData>
  <pageMargins left="0.511811024" right="0.511811024" top="0.78740157499999996" bottom="0.78740157499999996" header="0.31496062000000002" footer="0.31496062000000002"/>
  <pageSetup paperSize="9"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6533-74C5-4303-A741-4B25F145B846}">
  <sheetPr>
    <tabColor theme="8" tint="-0.499984740745262"/>
  </sheetPr>
  <dimension ref="C1:D29"/>
  <sheetViews>
    <sheetView workbookViewId="0">
      <selection activeCell="D24" sqref="D24"/>
    </sheetView>
  </sheetViews>
  <sheetFormatPr defaultRowHeight="15" x14ac:dyDescent="0.25"/>
  <cols>
    <col min="3" max="3" width="21" customWidth="1"/>
    <col min="4" max="4" width="20.85546875" customWidth="1"/>
  </cols>
  <sheetData>
    <row r="1" spans="3:4" s="9" customFormat="1" ht="62.25" customHeight="1" x14ac:dyDescent="0.25"/>
    <row r="3" spans="3:4" x14ac:dyDescent="0.25">
      <c r="C3" s="9" t="s">
        <v>58</v>
      </c>
      <c r="D3" s="3">
        <f>SUM(Tabela2[Depósito Reservado])</f>
        <v>3331</v>
      </c>
    </row>
    <row r="4" spans="3:4" x14ac:dyDescent="0.25">
      <c r="C4" s="9" t="s">
        <v>59</v>
      </c>
      <c r="D4" s="3">
        <v>20000</v>
      </c>
    </row>
    <row r="6" spans="3:4" x14ac:dyDescent="0.25">
      <c r="C6" s="10" t="s">
        <v>56</v>
      </c>
      <c r="D6" s="10" t="s">
        <v>57</v>
      </c>
    </row>
    <row r="7" spans="3:4" x14ac:dyDescent="0.25">
      <c r="C7" s="2">
        <v>45603</v>
      </c>
      <c r="D7" s="3">
        <v>50</v>
      </c>
    </row>
    <row r="8" spans="3:4" x14ac:dyDescent="0.25">
      <c r="C8" s="2">
        <v>45604</v>
      </c>
      <c r="D8" s="3">
        <v>111</v>
      </c>
    </row>
    <row r="9" spans="3:4" x14ac:dyDescent="0.25">
      <c r="C9" s="2">
        <v>45605</v>
      </c>
      <c r="D9" s="3">
        <v>106</v>
      </c>
    </row>
    <row r="10" spans="3:4" x14ac:dyDescent="0.25">
      <c r="C10" s="2">
        <v>45606</v>
      </c>
      <c r="D10" s="3">
        <v>177</v>
      </c>
    </row>
    <row r="11" spans="3:4" x14ac:dyDescent="0.25">
      <c r="C11" s="2">
        <v>45607</v>
      </c>
      <c r="D11" s="3">
        <v>404</v>
      </c>
    </row>
    <row r="12" spans="3:4" x14ac:dyDescent="0.25">
      <c r="C12" s="2">
        <v>45608</v>
      </c>
      <c r="D12" s="3">
        <v>266</v>
      </c>
    </row>
    <row r="13" spans="3:4" x14ac:dyDescent="0.25">
      <c r="C13" s="2">
        <v>45609</v>
      </c>
      <c r="D13" s="3">
        <v>276</v>
      </c>
    </row>
    <row r="14" spans="3:4" x14ac:dyDescent="0.25">
      <c r="C14" s="2">
        <v>45610</v>
      </c>
      <c r="D14" s="3">
        <v>457</v>
      </c>
    </row>
    <row r="15" spans="3:4" x14ac:dyDescent="0.25">
      <c r="C15" s="2">
        <v>45611</v>
      </c>
      <c r="D15" s="3">
        <v>343</v>
      </c>
    </row>
    <row r="16" spans="3:4" x14ac:dyDescent="0.25">
      <c r="C16" s="2">
        <v>45612</v>
      </c>
      <c r="D16" s="3">
        <v>378</v>
      </c>
    </row>
    <row r="17" spans="3:4" x14ac:dyDescent="0.25">
      <c r="C17" s="2">
        <v>45613</v>
      </c>
      <c r="D17" s="3">
        <v>115</v>
      </c>
    </row>
    <row r="18" spans="3:4" x14ac:dyDescent="0.25">
      <c r="C18" s="2">
        <v>45614</v>
      </c>
      <c r="D18" s="3">
        <v>321</v>
      </c>
    </row>
    <row r="19" spans="3:4" x14ac:dyDescent="0.25">
      <c r="C19" s="2">
        <v>45615</v>
      </c>
      <c r="D19" s="3">
        <v>327</v>
      </c>
    </row>
    <row r="20" spans="3:4" x14ac:dyDescent="0.25">
      <c r="D20" s="3"/>
    </row>
    <row r="21" spans="3:4" x14ac:dyDescent="0.25">
      <c r="D21" s="3"/>
    </row>
    <row r="22" spans="3:4" x14ac:dyDescent="0.25">
      <c r="D22" s="3"/>
    </row>
    <row r="23" spans="3:4" x14ac:dyDescent="0.25">
      <c r="D23" s="3"/>
    </row>
    <row r="24" spans="3:4" x14ac:dyDescent="0.25">
      <c r="D24" s="3"/>
    </row>
    <row r="25" spans="3:4" x14ac:dyDescent="0.25">
      <c r="D25" s="3"/>
    </row>
    <row r="26" spans="3:4" x14ac:dyDescent="0.25">
      <c r="D26" s="3"/>
    </row>
    <row r="27" spans="3:4" x14ac:dyDescent="0.25">
      <c r="D27" s="3"/>
    </row>
    <row r="28" spans="3:4" x14ac:dyDescent="0.25">
      <c r="D28" s="3"/>
    </row>
    <row r="29" spans="3:4" x14ac:dyDescent="0.25">
      <c r="D29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D9C2-C068-4FB2-867D-85E0A7F7FB41}">
  <dimension ref="A1:U1"/>
  <sheetViews>
    <sheetView showGridLines="0" showRowColHeaders="0" tabSelected="1" zoomScale="80" zoomScaleNormal="80" workbookViewId="0">
      <selection activeCell="M9" sqref="M9"/>
    </sheetView>
  </sheetViews>
  <sheetFormatPr defaultColWidth="0" defaultRowHeight="15" x14ac:dyDescent="0.25"/>
  <cols>
    <col min="1" max="1" width="29" style="6" customWidth="1"/>
    <col min="2" max="21" width="9.140625" style="7" customWidth="1"/>
    <col min="22" max="16384" width="9.140625" hidden="1"/>
  </cols>
  <sheetData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Controller</vt:lpstr>
      <vt:lpstr>Caixinha</vt:lpstr>
      <vt:lpstr>Dashboard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Menezes Geraldo</dc:creator>
  <cp:lastModifiedBy>Valeria Menezes Geraldo</cp:lastModifiedBy>
  <dcterms:created xsi:type="dcterms:W3CDTF">2025-01-08T12:34:50Z</dcterms:created>
  <dcterms:modified xsi:type="dcterms:W3CDTF">2025-01-08T20:18:20Z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a47ad8-907a-4afd-bc2a-6b2ee4f96f0c_Enabled">
    <vt:lpwstr>true</vt:lpwstr>
  </property>
  <property fmtid="{D5CDD505-2E9C-101B-9397-08002B2CF9AE}" pid="3" name="MSIP_Label_f1a47ad8-907a-4afd-bc2a-6b2ee4f96f0c_SetDate">
    <vt:lpwstr>2025-01-08T13:21:25Z</vt:lpwstr>
  </property>
  <property fmtid="{D5CDD505-2E9C-101B-9397-08002B2CF9AE}" pid="4" name="MSIP_Label_f1a47ad8-907a-4afd-bc2a-6b2ee4f96f0c_Method">
    <vt:lpwstr>Privileged</vt:lpwstr>
  </property>
  <property fmtid="{D5CDD505-2E9C-101B-9397-08002B2CF9AE}" pid="5" name="MSIP_Label_f1a47ad8-907a-4afd-bc2a-6b2ee4f96f0c_Name">
    <vt:lpwstr>#EXTERNO_CONFIDENCIAL</vt:lpwstr>
  </property>
  <property fmtid="{D5CDD505-2E9C-101B-9397-08002B2CF9AE}" pid="6" name="MSIP_Label_f1a47ad8-907a-4afd-bc2a-6b2ee4f96f0c_SiteId">
    <vt:lpwstr>ab9bba98-684a-43fb-add8-9c2bebede229</vt:lpwstr>
  </property>
  <property fmtid="{D5CDD505-2E9C-101B-9397-08002B2CF9AE}" pid="7" name="MSIP_Label_f1a47ad8-907a-4afd-bc2a-6b2ee4f96f0c_ActionId">
    <vt:lpwstr>ccb5f32b-b502-4aa4-9693-92e7baced8f3</vt:lpwstr>
  </property>
  <property fmtid="{D5CDD505-2E9C-101B-9397-08002B2CF9AE}" pid="8" name="MSIP_Label_f1a47ad8-907a-4afd-bc2a-6b2ee4f96f0c_ContentBits">
    <vt:lpwstr>3</vt:lpwstr>
  </property>
</Properties>
</file>